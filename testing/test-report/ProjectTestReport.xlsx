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CS445 CC\Nhom03\"/>
    </mc:Choice>
  </mc:AlternateContent>
  <bookViews>
    <workbookView xWindow="-120" yWindow="-120" windowWidth="20736" windowHeight="11160" activeTab="1"/>
  </bookViews>
  <sheets>
    <sheet name="TestReportSprint1" sheetId="1" r:id="rId1"/>
    <sheet name="TestReportSprint2" sheetId="2" r:id="rId2"/>
    <sheet name="TestReportSprint3" sheetId="3" r:id="rId3"/>
  </sheet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" l="1"/>
  <c r="D10" i="3"/>
  <c r="D15" i="2" l="1"/>
  <c r="D10" i="2"/>
  <c r="D15" i="1" l="1"/>
  <c r="D10" i="1"/>
</calcChain>
</file>

<file path=xl/sharedStrings.xml><?xml version="1.0" encoding="utf-8"?>
<sst xmlns="http://schemas.openxmlformats.org/spreadsheetml/2006/main" count="147" uniqueCount="70">
  <si>
    <t>Functions</t>
  </si>
  <si>
    <t>Description</t>
  </si>
  <si>
    <t>%TC Executed</t>
  </si>
  <si>
    <t>%TC Passed</t>
  </si>
  <si>
    <t>TC Pending</t>
  </si>
  <si>
    <t>Priority</t>
  </si>
  <si>
    <t>Remark</t>
  </si>
  <si>
    <t>High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</si>
  <si>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</si>
  <si>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</si>
  <si>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</si>
  <si>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</si>
  <si>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</si>
  <si>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</si>
  <si>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</si>
  <si>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</si>
  <si>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</si>
  <si>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</si>
  <si>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</si>
  <si>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</si>
  <si>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</si>
  <si>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</si>
  <si>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</si>
  <si>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</si>
  <si>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</si>
  <si>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</si>
  <si>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</si>
  <si>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</si>
  <si>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Đăng ký</t>
  </si>
  <si>
    <t>Đăng nhập</t>
  </si>
  <si>
    <t>Kiểm tra người dùng tìm kiếm phòng</t>
  </si>
  <si>
    <t>Quên mật khẩu</t>
  </si>
  <si>
    <t>Liên Hệ</t>
  </si>
  <si>
    <t>Đánh giá của tôi</t>
  </si>
  <si>
    <t>Quản lý Booking</t>
  </si>
  <si>
    <t>Quản lý đánh giá</t>
  </si>
  <si>
    <t>Kiểm tra người dùng đăng nhập bằng thông tin tài khoản</t>
  </si>
  <si>
    <t>Kiểm tra người dùng đăng ký tài khoản mới</t>
  </si>
  <si>
    <t>Kiểm tra chức năng lấy lại mật khẩu khi người dùng quên</t>
  </si>
  <si>
    <t>Kiểm tra hiển thị và gửi thông tin liên hệ thành công</t>
  </si>
  <si>
    <t>Kiểm tra người quản lý theo dõi, tìm kiếm và xử lý thông tin đặt vé</t>
  </si>
  <si>
    <t>Kiểm tra người quản lý theo dõi và xử lý phản hồi/đánh giá của khách hàng</t>
  </si>
  <si>
    <t>Medium</t>
  </si>
  <si>
    <t>Low</t>
  </si>
  <si>
    <t>Test Report Sprint 2</t>
  </si>
  <si>
    <t>Tìm kiếm</t>
  </si>
  <si>
    <t>Hiển thị KQ tìm kiếm</t>
  </si>
  <si>
    <t>Chuyến đi của tôi</t>
  </si>
  <si>
    <t>Quản lý xe</t>
  </si>
  <si>
    <t>Quản lý chuyến đi</t>
  </si>
  <si>
    <t>Kiểm tra người dùng tìm kiếm chuyến đi theo tuyến, ngày và loại xe</t>
  </si>
  <si>
    <t>Kiểm tra hệ thống hiển thị kết quả đúng với thông tin người dùng đã tìm kiếm</t>
  </si>
  <si>
    <t>Chi tiết chuyến xe và vé</t>
  </si>
  <si>
    <t>Kiểm tra hiển thị đầy đủ thông tin chi tiết chuyến xe và vé (giờ, tuyến, giá, ghế)</t>
  </si>
  <si>
    <t>Kiểm tra người dùng xem thông tin các chuyến đi đã đặt</t>
  </si>
  <si>
    <t>Kiểm tra người quản lý thêm, sửa, xóa và xem danh sách xe</t>
  </si>
  <si>
    <t>Thanh toán</t>
  </si>
  <si>
    <t>Xác nhận đặt vé thành công</t>
  </si>
  <si>
    <t>Thông tin tài khoản</t>
  </si>
  <si>
    <t>Thống kê</t>
  </si>
  <si>
    <t>Quản lý tài khoản</t>
  </si>
  <si>
    <t>Quản lý vé</t>
  </si>
  <si>
    <t>Quản lý phản hồi</t>
  </si>
  <si>
    <t>Người dùng thực hiện thanh toán cho vé đã đặt qua các phương thức hỗ trợ (ví điện tử, thẻ ngân hàng, tiền mặt…).</t>
  </si>
  <si>
    <t>Hệ thống hiển thị thông báo xác nhận khi người dùng đặt vé thành công.</t>
  </si>
  <si>
    <t>Người dùng có thể xem và cập nhật thông tin cá nhân, chi tiết vé đã mua, lịch sử giao dịch.</t>
  </si>
  <si>
    <t>Người dùng xem lại danh sách các chuyến đi đã đặt, lịch sử giao dịch và số liệu liên quan.</t>
  </si>
  <si>
    <t>Quản trị viên thêm, sửa, xóa và quản lý danh sách người dùng.</t>
  </si>
  <si>
    <t>Quản trị viên theo dõi, tìm kiếm và xử lý thông tin về vé (tạo, chỉnh sửa, hủy vé).</t>
  </si>
  <si>
    <t>Quản trị viên xem, xử lý và phản hồi ý kiến/đánh giá từ người dùng.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</si>
</sst>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sz val="3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theme="1"/>
      <name val="Times New Roman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5" fillId="4" borderId="5" xfId="0" applyFont="1" applyFill="1" applyBorder="1" applyAlignment="1">
      <alignment wrapText="1"/>
    </xf>
    <xf numFmtId="0" fontId="5" fillId="4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9" fontId="2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5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6" borderId="5" xfId="0" applyFont="1" applyFill="1" applyBorder="1" applyAlignment="1">
      <alignment horizontal="right" wrapText="1"/>
    </xf>
    <xf numFmtId="0" fontId="3" fillId="7" borderId="5" xfId="0" applyFont="1" applyFill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998"/>
  <sheetViews>
    <sheetView zoomScale="70" zoomScaleNormal="70" workbookViewId="0">
      <selection activeCell="D15" sqref="D15"/>
    </sheetView>
  </sheetViews>
  <sheetFormatPr defaultColWidth="8.8984375" defaultRowHeight="16.8" x14ac:dyDescent="0.3"/>
  <cols>
    <col min="1" max="1" width="8.8984375" style="1"/>
    <col min="2" max="2" width="23.69921875" style="1" bestFit="1" customWidth="1"/>
    <col min="3" max="3" width="70.8984375" style="1" customWidth="1"/>
    <col min="4" max="4" width="26.69921875" style="1" customWidth="1"/>
    <col min="5" max="5" width="18.09765625" style="1" customWidth="1"/>
    <col min="6" max="6" width="17.59765625" style="1" customWidth="1"/>
    <col min="7" max="8" width="11.69921875" style="1" customWidth="1"/>
    <col min="9" max="16384" width="8.8984375" style="1"/>
  </cols>
  <sheetData>
    <row r="3" spans="2:27" ht="17.399999999999999" thickBot="1" x14ac:dyDescent="0.35"/>
    <row r="4" spans="2:27" ht="40.950000000000003" customHeight="1" thickBot="1" x14ac:dyDescent="0.85">
      <c r="B4" s="33" t="s">
        <v>27</v>
      </c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8</v>
      </c>
      <c r="C7" s="31" t="s">
        <v>9</v>
      </c>
      <c r="D7" s="3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36" t="s">
        <v>10</v>
      </c>
      <c r="C8" s="7" t="s">
        <v>11</v>
      </c>
      <c r="D8" s="8">
        <v>292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36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36"/>
      <c r="C10" s="5" t="s">
        <v>13</v>
      </c>
      <c r="D10" s="11">
        <f>SUM(D8:D9)</f>
        <v>292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36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36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36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36"/>
      <c r="C14" s="5" t="s">
        <v>18</v>
      </c>
      <c r="D14" s="21">
        <v>292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37" t="s">
        <v>19</v>
      </c>
      <c r="C15" s="37"/>
      <c r="D15" s="22">
        <f>SUM(D11:D14)</f>
        <v>292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19" t="s">
        <v>29</v>
      </c>
      <c r="C18" s="6" t="s">
        <v>36</v>
      </c>
      <c r="D18" s="16">
        <v>1</v>
      </c>
      <c r="E18" s="16">
        <v>1</v>
      </c>
      <c r="F18" s="12">
        <v>0</v>
      </c>
      <c r="G18" s="6" t="s">
        <v>42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20" t="s">
        <v>28</v>
      </c>
      <c r="C19" s="6" t="s">
        <v>37</v>
      </c>
      <c r="D19" s="16">
        <v>1</v>
      </c>
      <c r="E19" s="16">
        <v>1</v>
      </c>
      <c r="F19" s="12">
        <v>0</v>
      </c>
      <c r="G19" s="6" t="s">
        <v>42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20" t="s">
        <v>31</v>
      </c>
      <c r="C20" s="6" t="s">
        <v>38</v>
      </c>
      <c r="D20" s="16">
        <v>1</v>
      </c>
      <c r="E20" s="16">
        <v>1</v>
      </c>
      <c r="F20" s="12">
        <v>0</v>
      </c>
      <c r="G20" s="6" t="s">
        <v>42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20" t="s">
        <v>32</v>
      </c>
      <c r="C21" s="6" t="s">
        <v>39</v>
      </c>
      <c r="D21" s="16">
        <v>1</v>
      </c>
      <c r="E21" s="16">
        <v>1</v>
      </c>
      <c r="F21" s="12">
        <v>0</v>
      </c>
      <c r="G21" s="6" t="s">
        <v>43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399999999999999" thickBot="1" x14ac:dyDescent="0.35">
      <c r="B22" s="20" t="s">
        <v>33</v>
      </c>
      <c r="C22" s="6" t="s">
        <v>30</v>
      </c>
      <c r="D22" s="16">
        <v>1</v>
      </c>
      <c r="E22" s="16">
        <v>1</v>
      </c>
      <c r="F22" s="12">
        <v>0</v>
      </c>
      <c r="G22" s="6" t="s">
        <v>43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" customHeight="1" thickBot="1" x14ac:dyDescent="0.35">
      <c r="B23" s="20" t="s">
        <v>34</v>
      </c>
      <c r="C23" s="6" t="s">
        <v>40</v>
      </c>
      <c r="D23" s="16">
        <v>1</v>
      </c>
      <c r="E23" s="16">
        <v>1</v>
      </c>
      <c r="F23" s="12">
        <v>0</v>
      </c>
      <c r="G23" s="6" t="s">
        <v>7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20" t="s">
        <v>35</v>
      </c>
      <c r="C24" s="6" t="s">
        <v>41</v>
      </c>
      <c r="D24" s="16">
        <v>1</v>
      </c>
      <c r="E24" s="16">
        <v>1</v>
      </c>
      <c r="F24" s="12">
        <v>0</v>
      </c>
      <c r="G24" s="6" t="s">
        <v>43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13"/>
      <c r="C25" s="13"/>
      <c r="D25" s="13"/>
      <c r="E25" s="13"/>
      <c r="F25" s="13"/>
      <c r="G25" s="18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15" t="s">
        <v>20</v>
      </c>
      <c r="C26" s="15" t="s">
        <v>1</v>
      </c>
      <c r="D26" s="15" t="s">
        <v>21</v>
      </c>
      <c r="E26" s="15" t="s">
        <v>22</v>
      </c>
      <c r="F26" s="15" t="s">
        <v>5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7.399999999999999" thickBot="1" x14ac:dyDescent="0.35">
      <c r="B27" s="28" t="s">
        <v>26</v>
      </c>
      <c r="C27" s="17" t="s">
        <v>23</v>
      </c>
      <c r="D27" s="12">
        <v>0</v>
      </c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399999999999999" thickBot="1" x14ac:dyDescent="0.35">
      <c r="B28" s="29"/>
      <c r="C28" s="17" t="s">
        <v>24</v>
      </c>
      <c r="D28" s="12">
        <v>4</v>
      </c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thickBot="1" x14ac:dyDescent="0.35">
      <c r="B29" s="30"/>
      <c r="C29" s="17" t="s">
        <v>25</v>
      </c>
      <c r="D29" s="12">
        <v>1</v>
      </c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95" customHeight="1" thickBot="1" x14ac:dyDescent="0.35">
      <c r="B30" s="14"/>
      <c r="C30" s="14"/>
      <c r="D30" s="14"/>
      <c r="E30" s="14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thickBot="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thickBot="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thickBot="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G997" s="2"/>
      <c r="H997" s="2"/>
    </row>
    <row r="998" spans="2:27" ht="17.399999999999999" thickBot="1" x14ac:dyDescent="0.35">
      <c r="H998" s="2"/>
    </row>
  </sheetData>
  <mergeCells count="6">
    <mergeCell ref="B27:B29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29"/>
  <sheetViews>
    <sheetView tabSelected="1" zoomScale="69" zoomScaleNormal="69" workbookViewId="0">
      <selection activeCell="F33" sqref="F33"/>
    </sheetView>
  </sheetViews>
  <sheetFormatPr defaultRowHeight="13.8" x14ac:dyDescent="0.25"/>
  <cols>
    <col min="2" max="2" width="26.8984375" customWidth="1"/>
    <col min="3" max="3" width="72.19921875" customWidth="1"/>
    <col min="4" max="4" width="16.796875" customWidth="1"/>
  </cols>
  <sheetData>
    <row r="3" spans="2:27" ht="14.4" thickBot="1" x14ac:dyDescent="0.3"/>
    <row r="4" spans="2:27" s="1" customFormat="1" ht="40.950000000000003" customHeight="1" thickBot="1" x14ac:dyDescent="0.85">
      <c r="B4" s="33" t="s">
        <v>44</v>
      </c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s="1" customFormat="1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s="1" customFormat="1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s="1" customFormat="1" ht="16.95" customHeight="1" thickBot="1" x14ac:dyDescent="0.35">
      <c r="B7" s="5" t="s">
        <v>8</v>
      </c>
      <c r="C7" s="31" t="s">
        <v>9</v>
      </c>
      <c r="D7" s="3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s="1" customFormat="1" ht="16.95" customHeight="1" thickBot="1" x14ac:dyDescent="0.35">
      <c r="B8" s="36" t="s">
        <v>10</v>
      </c>
      <c r="C8" s="7" t="s">
        <v>11</v>
      </c>
      <c r="D8" s="8">
        <v>412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s="1" customFormat="1" ht="16.95" customHeight="1" thickBot="1" x14ac:dyDescent="0.35">
      <c r="B9" s="36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s="1" customFormat="1" ht="16.95" customHeight="1" thickBot="1" x14ac:dyDescent="0.35">
      <c r="B10" s="36"/>
      <c r="C10" s="5" t="s">
        <v>13</v>
      </c>
      <c r="D10" s="11">
        <f>SUM(D8:D9)</f>
        <v>412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s="1" customFormat="1" ht="16.95" customHeight="1" thickBot="1" x14ac:dyDescent="0.35">
      <c r="B11" s="36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s="1" customFormat="1" ht="16.95" customHeight="1" thickBot="1" x14ac:dyDescent="0.35">
      <c r="B12" s="36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s="1" customFormat="1" ht="16.95" customHeight="1" thickBot="1" x14ac:dyDescent="0.35">
      <c r="B13" s="36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s="1" customFormat="1" ht="16.95" customHeight="1" thickBot="1" x14ac:dyDescent="0.35">
      <c r="B14" s="36"/>
      <c r="C14" s="5" t="s">
        <v>18</v>
      </c>
      <c r="D14" s="21">
        <v>412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s="1" customFormat="1" ht="16.95" customHeight="1" thickBot="1" x14ac:dyDescent="0.35">
      <c r="B15" s="37" t="s">
        <v>19</v>
      </c>
      <c r="C15" s="37"/>
      <c r="D15" s="22">
        <f>SUM(D11:D14)</f>
        <v>412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s="1" customFormat="1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s="1" customFormat="1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s="1" customFormat="1" ht="19.95" customHeight="1" thickBot="1" x14ac:dyDescent="0.35">
      <c r="B18" s="24" t="s">
        <v>45</v>
      </c>
      <c r="C18" s="24" t="s">
        <v>50</v>
      </c>
      <c r="D18" s="26">
        <v>1</v>
      </c>
      <c r="E18" s="26">
        <v>1</v>
      </c>
      <c r="F18" s="27">
        <v>0</v>
      </c>
      <c r="G18" s="27" t="s">
        <v>7</v>
      </c>
      <c r="H18" s="25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s="1" customFormat="1" ht="19.95" customHeight="1" thickBot="1" x14ac:dyDescent="0.35">
      <c r="B19" s="24" t="s">
        <v>46</v>
      </c>
      <c r="C19" s="24" t="s">
        <v>51</v>
      </c>
      <c r="D19" s="26">
        <v>1</v>
      </c>
      <c r="E19" s="26">
        <v>1</v>
      </c>
      <c r="F19" s="27">
        <v>0</v>
      </c>
      <c r="G19" s="27" t="s">
        <v>7</v>
      </c>
      <c r="H19" s="25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s="1" customFormat="1" ht="19.95" customHeight="1" thickBot="1" x14ac:dyDescent="0.35">
      <c r="B20" s="24" t="s">
        <v>52</v>
      </c>
      <c r="C20" s="24" t="s">
        <v>53</v>
      </c>
      <c r="D20" s="26">
        <v>1</v>
      </c>
      <c r="E20" s="26">
        <v>1</v>
      </c>
      <c r="F20" s="27">
        <v>0</v>
      </c>
      <c r="G20" s="27" t="s">
        <v>7</v>
      </c>
      <c r="H20" s="25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s="1" customFormat="1" ht="19.95" customHeight="1" thickBot="1" x14ac:dyDescent="0.35">
      <c r="B21" s="24" t="s">
        <v>47</v>
      </c>
      <c r="C21" s="24" t="s">
        <v>54</v>
      </c>
      <c r="D21" s="26">
        <v>1</v>
      </c>
      <c r="E21" s="26">
        <v>1</v>
      </c>
      <c r="F21" s="27">
        <v>0</v>
      </c>
      <c r="G21" s="27" t="s">
        <v>42</v>
      </c>
      <c r="H21" s="25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s="1" customFormat="1" ht="19.95" customHeight="1" thickBot="1" x14ac:dyDescent="0.35">
      <c r="B22" s="24" t="s">
        <v>48</v>
      </c>
      <c r="C22" s="24" t="s">
        <v>55</v>
      </c>
      <c r="D22" s="26">
        <v>1</v>
      </c>
      <c r="E22" s="26">
        <v>1</v>
      </c>
      <c r="F22" s="27">
        <v>0</v>
      </c>
      <c r="G22" s="27" t="s">
        <v>7</v>
      </c>
      <c r="H22" s="25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s="1" customFormat="1" ht="19.95" customHeight="1" thickBot="1" x14ac:dyDescent="0.35">
      <c r="B23" s="24" t="s">
        <v>49</v>
      </c>
      <c r="C23" s="24" t="s">
        <v>40</v>
      </c>
      <c r="D23" s="26">
        <v>1</v>
      </c>
      <c r="E23" s="26">
        <v>1</v>
      </c>
      <c r="F23" s="27">
        <v>0</v>
      </c>
      <c r="G23" s="27" t="s">
        <v>42</v>
      </c>
      <c r="H23" s="25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s="1" customFormat="1" ht="16.95" customHeight="1" thickBot="1" x14ac:dyDescent="0.35">
      <c r="B24" s="23"/>
      <c r="C24" s="23"/>
      <c r="D24" s="23"/>
      <c r="E24" s="23"/>
      <c r="F24" s="23"/>
      <c r="G24" s="18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s="1" customFormat="1" ht="16.95" customHeight="1" thickBot="1" x14ac:dyDescent="0.35">
      <c r="B25" s="23"/>
      <c r="C25" s="23"/>
      <c r="D25" s="23"/>
      <c r="E25" s="23"/>
      <c r="F25" s="23"/>
      <c r="G25" s="18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s="1" customFormat="1" ht="16.95" customHeight="1" thickBot="1" x14ac:dyDescent="0.35">
      <c r="B26" s="15" t="s">
        <v>20</v>
      </c>
      <c r="C26" s="15" t="s">
        <v>1</v>
      </c>
      <c r="D26" s="15" t="s">
        <v>21</v>
      </c>
      <c r="E26" s="15" t="s">
        <v>22</v>
      </c>
      <c r="F26" s="15" t="s">
        <v>5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s="1" customFormat="1" ht="17.399999999999999" thickBot="1" x14ac:dyDescent="0.35">
      <c r="B27" s="28" t="s">
        <v>26</v>
      </c>
      <c r="C27" s="17" t="s">
        <v>23</v>
      </c>
      <c r="D27" s="12">
        <v>0</v>
      </c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s="1" customFormat="1" ht="17.399999999999999" thickBot="1" x14ac:dyDescent="0.35">
      <c r="B28" s="29"/>
      <c r="C28" s="17" t="s">
        <v>24</v>
      </c>
      <c r="D28" s="12">
        <v>5</v>
      </c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s="1" customFormat="1" ht="17.399999999999999" thickBot="1" x14ac:dyDescent="0.35">
      <c r="B29" s="30"/>
      <c r="C29" s="17" t="s">
        <v>25</v>
      </c>
      <c r="D29" s="12">
        <v>1</v>
      </c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</sheetData>
  <mergeCells count="6">
    <mergeCell ref="B27:B29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29"/>
  <sheetViews>
    <sheetView topLeftCell="A13" zoomScale="70" zoomScaleNormal="70" workbookViewId="0">
      <selection activeCell="F26" sqref="F26:F29"/>
    </sheetView>
  </sheetViews>
  <sheetFormatPr defaultRowHeight="13.8" x14ac:dyDescent="0.25"/>
  <cols>
    <col min="2" max="2" width="33.19921875" customWidth="1"/>
    <col min="3" max="3" width="69.59765625" customWidth="1"/>
    <col min="4" max="4" width="18.8984375" customWidth="1"/>
    <col min="5" max="5" width="16.69921875" customWidth="1"/>
  </cols>
  <sheetData>
    <row r="3" spans="2:27" ht="14.4" thickBot="1" x14ac:dyDescent="0.3"/>
    <row r="4" spans="2:27" s="1" customFormat="1" ht="40.950000000000003" customHeight="1" thickBot="1" x14ac:dyDescent="0.85">
      <c r="B4" s="33" t="s">
        <v>44</v>
      </c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s="1" customFormat="1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s="1" customFormat="1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s="1" customFormat="1" ht="16.95" customHeight="1" thickBot="1" x14ac:dyDescent="0.35">
      <c r="B7" s="5" t="s">
        <v>8</v>
      </c>
      <c r="C7" s="31" t="s">
        <v>9</v>
      </c>
      <c r="D7" s="3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s="1" customFormat="1" ht="16.95" customHeight="1" thickBot="1" x14ac:dyDescent="0.35">
      <c r="B8" s="36" t="s">
        <v>10</v>
      </c>
      <c r="C8" s="7" t="s">
        <v>11</v>
      </c>
      <c r="D8" s="8">
        <v>332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s="1" customFormat="1" ht="16.95" customHeight="1" thickBot="1" x14ac:dyDescent="0.35">
      <c r="B9" s="36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s="1" customFormat="1" ht="16.95" customHeight="1" thickBot="1" x14ac:dyDescent="0.35">
      <c r="B10" s="36"/>
      <c r="C10" s="5" t="s">
        <v>13</v>
      </c>
      <c r="D10" s="11">
        <f>SUM(D8:D9)</f>
        <v>332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s="1" customFormat="1" ht="16.95" customHeight="1" thickBot="1" x14ac:dyDescent="0.35">
      <c r="B11" s="36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s="1" customFormat="1" ht="16.95" customHeight="1" thickBot="1" x14ac:dyDescent="0.35">
      <c r="B12" s="36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s="1" customFormat="1" ht="16.95" customHeight="1" thickBot="1" x14ac:dyDescent="0.35">
      <c r="B13" s="36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s="1" customFormat="1" ht="16.95" customHeight="1" thickBot="1" x14ac:dyDescent="0.35">
      <c r="B14" s="36"/>
      <c r="C14" s="5" t="s">
        <v>18</v>
      </c>
      <c r="D14" s="21">
        <v>332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s="1" customFormat="1" ht="16.95" customHeight="1" thickBot="1" x14ac:dyDescent="0.35">
      <c r="B15" s="37" t="s">
        <v>19</v>
      </c>
      <c r="C15" s="37"/>
      <c r="D15" s="22">
        <f>SUM(D11:D14)</f>
        <v>332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s="1" customFormat="1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s="1" customFormat="1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s="1" customFormat="1" ht="44.4" customHeight="1" thickBot="1" x14ac:dyDescent="0.35">
      <c r="B18" s="24" t="s">
        <v>56</v>
      </c>
      <c r="C18" s="24" t="s">
        <v>63</v>
      </c>
      <c r="D18" s="26">
        <v>1</v>
      </c>
      <c r="E18" s="26">
        <v>1</v>
      </c>
      <c r="F18" s="27">
        <v>0</v>
      </c>
      <c r="G18" s="27" t="s">
        <v>7</v>
      </c>
      <c r="H18" s="25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s="1" customFormat="1" ht="30" customHeight="1" thickBot="1" x14ac:dyDescent="0.35">
      <c r="B19" s="24" t="s">
        <v>57</v>
      </c>
      <c r="C19" s="24" t="s">
        <v>64</v>
      </c>
      <c r="D19" s="26">
        <v>1</v>
      </c>
      <c r="E19" s="26">
        <v>1</v>
      </c>
      <c r="F19" s="27">
        <v>0</v>
      </c>
      <c r="G19" s="27" t="s">
        <v>7</v>
      </c>
      <c r="H19" s="25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s="1" customFormat="1" ht="41.4" customHeight="1" thickBot="1" x14ac:dyDescent="0.35">
      <c r="B20" s="24" t="s">
        <v>58</v>
      </c>
      <c r="C20" s="24" t="s">
        <v>65</v>
      </c>
      <c r="D20" s="26">
        <v>1</v>
      </c>
      <c r="E20" s="26">
        <v>1</v>
      </c>
      <c r="F20" s="27">
        <v>0</v>
      </c>
      <c r="G20" s="27" t="s">
        <v>42</v>
      </c>
      <c r="H20" s="25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s="1" customFormat="1" ht="39" customHeight="1" thickBot="1" x14ac:dyDescent="0.35">
      <c r="B21" s="24" t="s">
        <v>59</v>
      </c>
      <c r="C21" s="24" t="s">
        <v>66</v>
      </c>
      <c r="D21" s="26">
        <v>1</v>
      </c>
      <c r="E21" s="26">
        <v>1</v>
      </c>
      <c r="F21" s="27">
        <v>0</v>
      </c>
      <c r="G21" s="27" t="s">
        <v>7</v>
      </c>
      <c r="H21" s="25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s="1" customFormat="1" ht="30" customHeight="1" thickBot="1" x14ac:dyDescent="0.35">
      <c r="B22" s="24" t="s">
        <v>60</v>
      </c>
      <c r="C22" s="24" t="s">
        <v>67</v>
      </c>
      <c r="D22" s="26">
        <v>1</v>
      </c>
      <c r="E22" s="26">
        <v>1</v>
      </c>
      <c r="F22" s="27">
        <v>0</v>
      </c>
      <c r="G22" s="27" t="s">
        <v>42</v>
      </c>
      <c r="H22" s="25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s="1" customFormat="1" ht="30" customHeight="1" thickBot="1" x14ac:dyDescent="0.35">
      <c r="B23" s="24" t="s">
        <v>61</v>
      </c>
      <c r="C23" s="24" t="s">
        <v>68</v>
      </c>
      <c r="D23" s="26">
        <v>1</v>
      </c>
      <c r="E23" s="26">
        <v>1</v>
      </c>
      <c r="F23" s="27">
        <v>0</v>
      </c>
      <c r="G23" s="27" t="s">
        <v>42</v>
      </c>
      <c r="H23" s="25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s="1" customFormat="1" ht="30" customHeight="1" thickBot="1" x14ac:dyDescent="0.35">
      <c r="B24" s="24" t="s">
        <v>62</v>
      </c>
      <c r="C24" s="24" t="s">
        <v>69</v>
      </c>
      <c r="D24" s="26">
        <v>1</v>
      </c>
      <c r="E24" s="26">
        <v>1</v>
      </c>
      <c r="F24" s="27">
        <v>0</v>
      </c>
      <c r="G24" s="27" t="s">
        <v>42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s="1" customFormat="1" ht="16.95" customHeight="1" thickBot="1" x14ac:dyDescent="0.35">
      <c r="B25" s="23"/>
      <c r="C25" s="23"/>
      <c r="D25" s="23"/>
      <c r="E25" s="23"/>
      <c r="F25" s="23"/>
      <c r="G25" s="18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s="1" customFormat="1" ht="16.95" customHeight="1" thickBot="1" x14ac:dyDescent="0.35">
      <c r="B26" s="15" t="s">
        <v>20</v>
      </c>
      <c r="C26" s="15" t="s">
        <v>1</v>
      </c>
      <c r="D26" s="15" t="s">
        <v>21</v>
      </c>
      <c r="E26" s="15" t="s">
        <v>22</v>
      </c>
      <c r="F26" s="15" t="s">
        <v>5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s="1" customFormat="1" ht="17.399999999999999" thickBot="1" x14ac:dyDescent="0.35">
      <c r="B27" s="28" t="s">
        <v>26</v>
      </c>
      <c r="C27" s="17" t="s">
        <v>23</v>
      </c>
      <c r="D27" s="12">
        <v>0</v>
      </c>
      <c r="E27" s="6"/>
      <c r="F27" s="6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s="1" customFormat="1" ht="17.399999999999999" thickBot="1" x14ac:dyDescent="0.35">
      <c r="B28" s="29"/>
      <c r="C28" s="17" t="s">
        <v>24</v>
      </c>
      <c r="D28" s="12">
        <v>4</v>
      </c>
      <c r="E28" s="6"/>
      <c r="F28" s="6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s="1" customFormat="1" ht="17.399999999999999" thickBot="1" x14ac:dyDescent="0.35">
      <c r="B29" s="30"/>
      <c r="C29" s="17" t="s">
        <v>25</v>
      </c>
      <c r="D29" s="12">
        <v>1</v>
      </c>
      <c r="E29" s="6"/>
      <c r="F29" s="6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</sheetData>
  <mergeCells count="6">
    <mergeCell ref="B27:B29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ADMIN</cp:lastModifiedBy>
  <dcterms:created xsi:type="dcterms:W3CDTF">2021-03-25T14:33:44Z</dcterms:created>
  <dcterms:modified xsi:type="dcterms:W3CDTF">2025-10-01T12:06:58Z</dcterms:modified>
</cp:coreProperties>
</file>